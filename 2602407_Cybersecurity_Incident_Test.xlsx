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B786EC2-F76C-4CC5-9F25-C14CC9A22AE3}" xr6:coauthVersionLast="47" xr6:coauthVersionMax="47" xr10:uidLastSave="{00000000-0000-0000-0000-000000000000}"/>
  <bookViews>
    <workbookView xWindow="-110" yWindow="-110" windowWidth="19420" windowHeight="10300" xr2:uid="{FDE1C419-1DF0-4A68-819A-8A27BA9A9F3D}"/>
  </bookViews>
  <sheets>
    <sheet name="Cybersecurity Incid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B28" i="1"/>
  <c r="B26" i="1"/>
  <c r="B27" i="1"/>
  <c r="B25" i="1"/>
  <c r="B24" i="1"/>
  <c r="B20" i="1"/>
  <c r="B19" i="1"/>
  <c r="B18" i="1"/>
  <c r="B17" i="1"/>
  <c r="B16" i="1"/>
  <c r="B15" i="1"/>
  <c r="H9" i="1"/>
  <c r="H5" i="1"/>
  <c r="H4" i="1"/>
  <c r="H10" i="1"/>
  <c r="H2" i="1"/>
  <c r="H7" i="1"/>
  <c r="H8" i="1"/>
  <c r="H11" i="1"/>
  <c r="H3" i="1"/>
  <c r="H6" i="1"/>
</calcChain>
</file>

<file path=xl/sharedStrings.xml><?xml version="1.0" encoding="utf-8"?>
<sst xmlns="http://schemas.openxmlformats.org/spreadsheetml/2006/main" count="85" uniqueCount="50">
  <si>
    <t>Incident ID</t>
  </si>
  <si>
    <t>INC001</t>
  </si>
  <si>
    <t>INC002</t>
  </si>
  <si>
    <t>INC003</t>
  </si>
  <si>
    <t>INC004</t>
  </si>
  <si>
    <t>INC005</t>
  </si>
  <si>
    <t>INC006</t>
  </si>
  <si>
    <t>INC007</t>
  </si>
  <si>
    <t>INC008</t>
  </si>
  <si>
    <t>INC009</t>
  </si>
  <si>
    <t>INC010</t>
  </si>
  <si>
    <t>Date</t>
  </si>
  <si>
    <t>Incident Type</t>
  </si>
  <si>
    <t>Phishing</t>
  </si>
  <si>
    <t>Malware</t>
  </si>
  <si>
    <t>DDoS</t>
  </si>
  <si>
    <t>Password Attack</t>
  </si>
  <si>
    <t>Data Breach</t>
  </si>
  <si>
    <t>Department</t>
  </si>
  <si>
    <t>Finance</t>
  </si>
  <si>
    <t>Student Affairs</t>
  </si>
  <si>
    <t>ICT</t>
  </si>
  <si>
    <t>HR</t>
  </si>
  <si>
    <t>Library</t>
  </si>
  <si>
    <t>Admissions</t>
  </si>
  <si>
    <t>Severity</t>
  </si>
  <si>
    <t>High</t>
  </si>
  <si>
    <t>Critical</t>
  </si>
  <si>
    <t>Medium</t>
  </si>
  <si>
    <t>Status</t>
  </si>
  <si>
    <t>Resolved</t>
  </si>
  <si>
    <t>Investigating</t>
  </si>
  <si>
    <t>Response Category</t>
  </si>
  <si>
    <t>Summary Results</t>
  </si>
  <si>
    <t>Result</t>
  </si>
  <si>
    <t>High severity incidents</t>
  </si>
  <si>
    <t>Critical severity incidents</t>
  </si>
  <si>
    <t>Shortest response time (minutes)</t>
  </si>
  <si>
    <t>Average response time (minutes)</t>
  </si>
  <si>
    <t>Longest response time (minutes)</t>
  </si>
  <si>
    <t>Measure</t>
  </si>
  <si>
    <t>ICT incidents</t>
  </si>
  <si>
    <t>Most frequent incident type</t>
  </si>
  <si>
    <t>Malware and Phishing</t>
  </si>
  <si>
    <t>Unauthorised Access</t>
  </si>
  <si>
    <t>Number of Incidents</t>
  </si>
  <si>
    <t>OBSERVATIONS</t>
  </si>
  <si>
    <t>1.Phishing and Malware are the most frequent incident types, with 3 incidents each.</t>
  </si>
  <si>
    <t>2.The other four types each occurred only once.</t>
  </si>
  <si>
    <t>Response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</si>
</sst>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165" fontId="0" fillId="0" borderId="6" xfId="0" applyNumberForma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Alignment="1"/>
    <xf numFmtId="0" fontId="0" fillId="0" borderId="3" xfId="0" applyBorder="1" applyAlignment="1"/>
    <xf numFmtId="165" fontId="0" fillId="0" borderId="1" xfId="0" applyNumberFormat="1" applyBorder="1" applyAlignment="1"/>
    <xf numFmtId="0" fontId="0" fillId="0" borderId="1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3" borderId="1" xfId="0" applyFont="1" applyFill="1" applyBorder="1" applyAlignment="1"/>
    <xf numFmtId="0" fontId="0" fillId="0" borderId="1" xfId="0" applyFill="1" applyBorder="1" applyAlignment="1"/>
    <xf numFmtId="0" fontId="0" fillId="0" borderId="1" xfId="0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Border="1" applyAlignment="1"/>
  </cellXfs>
  <cellStyles count="1">
    <cellStyle name="Normal" xfId="0" builtinId="0"/>
  </cellStyles>
  <dxfs count="13"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m/dd/yyyy;@"/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Cybersecurity</a:t>
            </a:r>
            <a:r>
              <a:rPr lang="en-US" baseline="0"/>
              <a:t> Incidents by Incident Type</a:t>
            </a:r>
          </a:p>
        </c:rich>
      </c:tx>
      <c:layout>
        <c:manualLayout>
          <c:xMode val="edge"/>
          <c:yMode val="edge"/>
          <c:x val="0.22920071047957372"/>
          <c:y val="2.47678018575851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'Cybersecurity Incidents'!$B$23:$B$23</c:f>
              <c:strCache>
                <c:ptCount val="1"/>
                <c:pt idx="0">
                  <c:v>Number of Incidents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'Cybersecurity Incidents'!$A$24:$A$29</c:f>
              <c:strCache>
                <c:ptCount val="6"/>
                <c:pt idx="0">
                  <c:v>Phishing</c:v>
                </c:pt>
                <c:pt idx="1">
                  <c:v>Malware</c:v>
                </c:pt>
                <c:pt idx="2">
                  <c:v>Unauthorised Access</c:v>
                </c:pt>
                <c:pt idx="3">
                  <c:v>DDoS</c:v>
                </c:pt>
                <c:pt idx="4">
                  <c:v>Password Attack</c:v>
                </c:pt>
                <c:pt idx="5">
                  <c:v>Data Breach</c:v>
                </c:pt>
              </c:strCache>
            </c:strRef>
          </c:cat>
          <c:val>
            <c:numRef>
              <c:f>'Cybersecurity Incidents'!$B$24:$B$29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2-45BE-823C-DFA0BCE725D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810880"/>
        <c:axId val="548811712"/>
      </c:barChart>
      <c:catAx>
        <c:axId val="54881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Incident</a:t>
                </a:r>
                <a:r>
                  <a:rPr lang="en-US" baseline="0"/>
                  <a:t>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811712"/>
        <c:crosses val="autoZero"/>
        <c:auto val="1"/>
        <c:lblAlgn val="ctr"/>
        <c:lblOffset val="100"/>
        <c:noMultiLvlLbl val="0"/>
      </c:catAx>
      <c:valAx>
        <c:axId val="54881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Incidents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8108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1076324</xdr:colOff>
      <xdr:row>12</xdr:row>
      <xdr:rowOff>25400</xdr:rowOff>
    </xdr:from>
    <xdr:to>
      <xdr:col>7</xdr:col>
      <xdr:colOff>800100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A97930-2A71-4A3F-9F53-5A9F55039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7C6634-B6BF-42DB-B359-180FE111DE88}" name="Table3" displayName="Table3" ref="A1:H11" totalsRowShown="0" headerRowDxfId="4" dataDxfId="3" headerRowBorderDxfId="10" tableBorderDxfId="12" totalsRowBorderDxfId="11">
  <autoFilter ref="A1:H11" xr:uid="{E47C6634-B6BF-42DB-B359-180FE111DE88}"/>
  <tableColumns count="8">
    <tableColumn id="1" xr3:uid="{7B6C3E33-0BE2-4F63-A0C6-C269E4EA71B2}" name="Incident ID" dataDxfId="1"/>
    <tableColumn id="2" xr3:uid="{D67FD58E-3E7F-4886-965B-903E20D3D24D}" name="Date" dataDxfId="9"/>
    <tableColumn id="3" xr3:uid="{2C70D729-41A5-4F17-BAD1-4560A4665E41}" name="Incident Type" dataDxfId="8"/>
    <tableColumn id="4" xr3:uid="{8BBFF40A-A39A-4001-A64D-EC18B7EE783C}" name="Department" dataDxfId="7"/>
    <tableColumn id="5" xr3:uid="{7F26F38F-EA51-452D-AB10-F5225CC62737}" name="Severity" dataDxfId="6"/>
    <tableColumn id="6" xr3:uid="{04315111-4C69-471F-A911-C5A461E0B9E9}" name="Status" dataDxfId="0"/>
    <tableColumn id="7" xr3:uid="{4095E59B-30C9-4567-9476-67724B9C698C}" name="Response Time (Minutes)" dataDxfId="5"/>
    <tableColumn id="8" xr3:uid="{15B73168-7C3C-43EC-B1E5-ECA2887A3487}" name="Response Category" dataDxfId="2">
      <calculatedColumnFormula>IF(G2&lt;60, "Fast", IF(G2&lt;120, "Moderate", "Slow"))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952F-A79E-4FA4-B998-C872DFB6B7C0}">
  <dimension ref="A1:H35"/>
  <sheetViews>
    <sheetView tabSelected="1" topLeftCell="A10" workbookViewId="0">
      <selection activeCell="I22" sqref="I22"/>
    </sheetView>
  </sheetViews>
  <sheetFormatPr defaultColWidth="19.08984375" defaultRowHeight="14.5" x14ac:dyDescent="0.35"/>
  <cols>
    <col min="1" max="1" width="29.36328125" style="10" bestFit="1" customWidth="1"/>
    <col min="2" max="2" width="19.36328125" style="10" bestFit="1" customWidth="1"/>
    <col min="3" max="3" width="18.26953125" style="3" bestFit="1" customWidth="1"/>
    <col min="4" max="4" width="15.6328125" style="3" bestFit="1" customWidth="1"/>
    <col min="5" max="5" width="12" style="3" bestFit="1" customWidth="1"/>
    <col min="6" max="6" width="13.6328125" style="10" customWidth="1"/>
    <col min="7" max="7" width="26.36328125" style="3" bestFit="1" customWidth="1"/>
    <col min="8" max="8" width="21.90625" style="3" customWidth="1"/>
    <col min="9" max="16384" width="19.08984375" style="3"/>
  </cols>
  <sheetData>
    <row r="1" spans="1:8" x14ac:dyDescent="0.35">
      <c r="A1" s="1" t="s">
        <v>0</v>
      </c>
      <c r="B1" s="1" t="s">
        <v>11</v>
      </c>
      <c r="C1" s="2" t="s">
        <v>12</v>
      </c>
      <c r="D1" s="2" t="s">
        <v>18</v>
      </c>
      <c r="E1" s="2" t="s">
        <v>25</v>
      </c>
      <c r="F1" s="1" t="s">
        <v>29</v>
      </c>
      <c r="G1" s="2" t="s">
        <v>49</v>
      </c>
      <c r="H1" s="19" t="s">
        <v>32</v>
      </c>
    </row>
    <row r="2" spans="1:8" x14ac:dyDescent="0.35">
      <c r="A2" s="11" t="s">
        <v>5</v>
      </c>
      <c r="B2" s="12">
        <v>46182</v>
      </c>
      <c r="C2" s="5" t="s">
        <v>15</v>
      </c>
      <c r="D2" s="5" t="s">
        <v>21</v>
      </c>
      <c r="E2" s="5" t="s">
        <v>27</v>
      </c>
      <c r="F2" s="13" t="s">
        <v>31</v>
      </c>
      <c r="G2" s="6">
        <v>180</v>
      </c>
      <c r="H2" s="17" t="str">
        <f>IF(G2&lt;60, "Fast", IF(G2&lt;120, "Moderate", "Slow"))</f>
        <v>Slow</v>
      </c>
    </row>
    <row r="3" spans="1:8" x14ac:dyDescent="0.35">
      <c r="A3" s="11" t="s">
        <v>9</v>
      </c>
      <c r="B3" s="12">
        <v>46304</v>
      </c>
      <c r="C3" s="5" t="s">
        <v>17</v>
      </c>
      <c r="D3" s="5" t="s">
        <v>19</v>
      </c>
      <c r="E3" s="5" t="s">
        <v>27</v>
      </c>
      <c r="F3" s="13" t="s">
        <v>31</v>
      </c>
      <c r="G3" s="6">
        <v>150</v>
      </c>
      <c r="H3" s="16" t="str">
        <f>IF(G3&lt;60, "Fast", IF(G3&lt;120, "Moderate", "Slow"))</f>
        <v>Slow</v>
      </c>
    </row>
    <row r="4" spans="1:8" x14ac:dyDescent="0.35">
      <c r="A4" s="11" t="s">
        <v>3</v>
      </c>
      <c r="B4" s="12">
        <v>46121</v>
      </c>
      <c r="C4" s="5" t="s">
        <v>44</v>
      </c>
      <c r="D4" s="5" t="s">
        <v>21</v>
      </c>
      <c r="E4" s="5" t="s">
        <v>26</v>
      </c>
      <c r="F4" s="13" t="s">
        <v>31</v>
      </c>
      <c r="G4" s="6">
        <v>120</v>
      </c>
      <c r="H4" s="16" t="str">
        <f>IF(G4&lt;60, "Fast", IF(G4&lt;120, "Moderate", "Slow"))</f>
        <v>Slow</v>
      </c>
    </row>
    <row r="5" spans="1:8" x14ac:dyDescent="0.35">
      <c r="A5" s="11" t="s">
        <v>2</v>
      </c>
      <c r="B5" s="4">
        <v>46090</v>
      </c>
      <c r="C5" s="5" t="s">
        <v>14</v>
      </c>
      <c r="D5" s="5" t="s">
        <v>20</v>
      </c>
      <c r="E5" s="5" t="s">
        <v>27</v>
      </c>
      <c r="F5" s="13" t="s">
        <v>30</v>
      </c>
      <c r="G5" s="6">
        <v>90</v>
      </c>
      <c r="H5" s="16" t="str">
        <f>IF(G5&lt;60, "Fast", IF(G5&lt;120, "Moderate", "Slow"))</f>
        <v>Moderate</v>
      </c>
    </row>
    <row r="6" spans="1:8" x14ac:dyDescent="0.35">
      <c r="A6" s="11" t="s">
        <v>10</v>
      </c>
      <c r="B6" s="4">
        <v>46335</v>
      </c>
      <c r="C6" s="5" t="s">
        <v>14</v>
      </c>
      <c r="D6" s="5" t="s">
        <v>21</v>
      </c>
      <c r="E6" s="5" t="s">
        <v>26</v>
      </c>
      <c r="F6" s="13" t="s">
        <v>30</v>
      </c>
      <c r="G6" s="6">
        <v>75</v>
      </c>
      <c r="H6" s="16" t="str">
        <f>IF(G6&lt;60, "Fast", IF(G6&lt;120, "Moderate", "Slow"))</f>
        <v>Moderate</v>
      </c>
    </row>
    <row r="7" spans="1:8" x14ac:dyDescent="0.35">
      <c r="A7" s="11" t="s">
        <v>6</v>
      </c>
      <c r="B7" s="4">
        <v>46212</v>
      </c>
      <c r="C7" s="5" t="s">
        <v>14</v>
      </c>
      <c r="D7" s="5" t="s">
        <v>23</v>
      </c>
      <c r="E7" s="5" t="s">
        <v>28</v>
      </c>
      <c r="F7" s="13" t="s">
        <v>30</v>
      </c>
      <c r="G7" s="6">
        <v>60</v>
      </c>
      <c r="H7" s="16" t="str">
        <f>IF(G7&lt;60, "Fast", IF(G7&lt;120, "Moderate", "Slow"))</f>
        <v>Moderate</v>
      </c>
    </row>
    <row r="8" spans="1:8" x14ac:dyDescent="0.35">
      <c r="A8" s="11" t="s">
        <v>7</v>
      </c>
      <c r="B8" s="4">
        <v>46243</v>
      </c>
      <c r="C8" s="5" t="s">
        <v>16</v>
      </c>
      <c r="D8" s="5" t="s">
        <v>19</v>
      </c>
      <c r="E8" s="5" t="s">
        <v>26</v>
      </c>
      <c r="F8" s="13" t="s">
        <v>30</v>
      </c>
      <c r="G8" s="6">
        <v>50</v>
      </c>
      <c r="H8" s="16" t="str">
        <f>IF(G8&lt;60, "Fast", IF(G8&lt;120, "Moderate", "Slow"))</f>
        <v>Fast</v>
      </c>
    </row>
    <row r="9" spans="1:8" x14ac:dyDescent="0.35">
      <c r="A9" s="11" t="s">
        <v>1</v>
      </c>
      <c r="B9" s="4">
        <v>46062</v>
      </c>
      <c r="C9" s="4" t="s">
        <v>13</v>
      </c>
      <c r="D9" s="5" t="s">
        <v>19</v>
      </c>
      <c r="E9" s="5" t="s">
        <v>26</v>
      </c>
      <c r="F9" s="13" t="s">
        <v>30</v>
      </c>
      <c r="G9" s="6">
        <v>45</v>
      </c>
      <c r="H9" s="16" t="str">
        <f>IF(G9&lt;60, "Fast", IF(G9&lt;120, "Moderate", "Slow"))</f>
        <v>Fast</v>
      </c>
    </row>
    <row r="10" spans="1:8" x14ac:dyDescent="0.35">
      <c r="A10" s="11" t="s">
        <v>4</v>
      </c>
      <c r="B10" s="4">
        <v>46151</v>
      </c>
      <c r="C10" s="5" t="s">
        <v>13</v>
      </c>
      <c r="D10" s="5" t="s">
        <v>22</v>
      </c>
      <c r="E10" s="5" t="s">
        <v>28</v>
      </c>
      <c r="F10" s="13" t="s">
        <v>30</v>
      </c>
      <c r="G10" s="6">
        <v>35</v>
      </c>
      <c r="H10" s="16" t="str">
        <f>IF(G10&lt;60, "Fast", IF(G10&lt;120, "Moderate", "Slow"))</f>
        <v>Fast</v>
      </c>
    </row>
    <row r="11" spans="1:8" x14ac:dyDescent="0.35">
      <c r="A11" s="14" t="s">
        <v>8</v>
      </c>
      <c r="B11" s="7">
        <v>46274</v>
      </c>
      <c r="C11" s="8" t="s">
        <v>13</v>
      </c>
      <c r="D11" s="8" t="s">
        <v>24</v>
      </c>
      <c r="E11" s="8" t="s">
        <v>28</v>
      </c>
      <c r="F11" s="15" t="s">
        <v>30</v>
      </c>
      <c r="G11" s="9">
        <v>30</v>
      </c>
      <c r="H11" s="18" t="str">
        <f>IF(G11&lt;60, "Fast", IF(G11&lt;120, "Moderate", "Slow"))</f>
        <v>Fast</v>
      </c>
    </row>
    <row r="13" spans="1:8" x14ac:dyDescent="0.35">
      <c r="A13" s="21" t="s">
        <v>33</v>
      </c>
    </row>
    <row r="14" spans="1:8" x14ac:dyDescent="0.35">
      <c r="A14" s="22" t="s">
        <v>40</v>
      </c>
      <c r="B14" s="22" t="s">
        <v>34</v>
      </c>
    </row>
    <row r="15" spans="1:8" x14ac:dyDescent="0.35">
      <c r="A15" s="13" t="s">
        <v>35</v>
      </c>
      <c r="B15" s="24">
        <f>COUNTIF(E2:E11,"High")</f>
        <v>4</v>
      </c>
    </row>
    <row r="16" spans="1:8" x14ac:dyDescent="0.35">
      <c r="A16" s="13" t="s">
        <v>36</v>
      </c>
      <c r="B16" s="24">
        <f>COUNTIF(E2:E11,"Critical")</f>
        <v>3</v>
      </c>
    </row>
    <row r="17" spans="1:4" x14ac:dyDescent="0.35">
      <c r="A17" s="13" t="s">
        <v>38</v>
      </c>
      <c r="B17" s="24">
        <f>AVERAGE(G2:G11)</f>
        <v>83.5</v>
      </c>
    </row>
    <row r="18" spans="1:4" x14ac:dyDescent="0.35">
      <c r="A18" s="13" t="s">
        <v>39</v>
      </c>
      <c r="B18" s="24">
        <f>MAX(G2:G11)</f>
        <v>180</v>
      </c>
    </row>
    <row r="19" spans="1:4" x14ac:dyDescent="0.35">
      <c r="A19" s="13" t="s">
        <v>37</v>
      </c>
      <c r="B19" s="24">
        <f>MIN(G2:G11)</f>
        <v>30</v>
      </c>
    </row>
    <row r="20" spans="1:4" x14ac:dyDescent="0.35">
      <c r="A20" s="23" t="s">
        <v>41</v>
      </c>
      <c r="B20" s="24">
        <f>COUNTIF(D2:D11, "ICT")</f>
        <v>3</v>
      </c>
    </row>
    <row r="21" spans="1:4" x14ac:dyDescent="0.35">
      <c r="A21" s="23" t="s">
        <v>42</v>
      </c>
      <c r="B21" s="13" t="s">
        <v>43</v>
      </c>
    </row>
    <row r="23" spans="1:4" x14ac:dyDescent="0.35">
      <c r="A23" s="25" t="s">
        <v>12</v>
      </c>
      <c r="B23" s="26" t="s">
        <v>45</v>
      </c>
    </row>
    <row r="24" spans="1:4" x14ac:dyDescent="0.35">
      <c r="A24" s="23" t="s">
        <v>13</v>
      </c>
      <c r="B24" s="13">
        <f>COUNTIF(C2:C11, A24)</f>
        <v>3</v>
      </c>
    </row>
    <row r="25" spans="1:4" x14ac:dyDescent="0.35">
      <c r="A25" s="23" t="s">
        <v>14</v>
      </c>
      <c r="B25" s="13">
        <f>COUNTIF(C2:C11, A25)</f>
        <v>3</v>
      </c>
    </row>
    <row r="26" spans="1:4" x14ac:dyDescent="0.35">
      <c r="A26" s="23" t="s">
        <v>44</v>
      </c>
      <c r="B26" s="13">
        <f>COUNTIF(C2:C11,A26)</f>
        <v>1</v>
      </c>
    </row>
    <row r="27" spans="1:4" x14ac:dyDescent="0.35">
      <c r="A27" s="23" t="s">
        <v>15</v>
      </c>
      <c r="B27" s="13">
        <f>COUNTIF(C2:C11,A27)</f>
        <v>1</v>
      </c>
    </row>
    <row r="28" spans="1:4" x14ac:dyDescent="0.35">
      <c r="A28" s="23" t="s">
        <v>16</v>
      </c>
      <c r="B28" s="13">
        <f>COUNTIF(C2:C11,A28)</f>
        <v>1</v>
      </c>
    </row>
    <row r="29" spans="1:4" x14ac:dyDescent="0.35">
      <c r="A29" s="23" t="s">
        <v>17</v>
      </c>
      <c r="B29" s="13">
        <f>COUNTIF(C2:C11,A29)</f>
        <v>1</v>
      </c>
    </row>
    <row r="32" spans="1:4" x14ac:dyDescent="0.35">
      <c r="D32" s="20" t="s">
        <v>46</v>
      </c>
    </row>
    <row r="34" spans="4:4" ht="87" x14ac:dyDescent="0.35">
      <c r="D34" s="3" t="s">
        <v>47</v>
      </c>
    </row>
    <row r="35" spans="4:4" ht="58" x14ac:dyDescent="0.35">
      <c r="D35" s="3" t="s">
        <v>48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Incidents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2026-09-23T14:55:32Z</dcterms:created>
  <dcterms:modified xsi:type="dcterms:W3CDTF">2026-09-23T17:57:49Z</dcterms:modified>
</cp:coreProperties>
</file>